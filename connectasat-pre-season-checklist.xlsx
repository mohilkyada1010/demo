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. Dependency Mapping" sheetId="2" state="visible" r:id="rId4"/>
    <sheet name="2. Layer 1 Primary" sheetId="3" state="visible" r:id="rId5"/>
    <sheet name="3. Layer 2 Sat Failover" sheetId="4" state="visible" r:id="rId6"/>
    <sheet name="4. Layer 3 Portable Kit" sheetId="5" state="visible" r:id="rId7"/>
    <sheet name="5. Power &amp; Fuel" sheetId="6" state="visible" r:id="rId8"/>
    <sheet name="6. Site Risk Ranking" sheetId="7" state="visible" r:id="rId9"/>
    <sheet name="7. Team &amp; Runbook" sheetId="8" state="visible" r:id="rId10"/>
    <sheet name="8. Final Verific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<sst xmlns="http://schemas.openxmlformats.org/spreadsheetml/2006/main" count="431" uniqueCount="208">
  <si>
    <t xml:space="preserve">ConnectaSat  ·  Pre-Season Connectivity Checklist</t>
  </si>
  <si>
    <t xml:space="preserve">Audit your setup across all three resilience layers before hurricane season.</t>
  </si>
  <si>
    <t xml:space="preserve">How to use this workbook</t>
  </si>
  <si>
    <t xml:space="preserve">Work through each tab. For every item, set the Status using the dropdown: Not Started, In Progress, Complete, or N/A.</t>
  </si>
  <si>
    <t xml:space="preserve">Mark an item N/A to exclude it from your score. Use the Priority dropdown to triage. Add an Owner and Notes as you go.</t>
  </si>
  <si>
    <t xml:space="preserve">Progress updates automatically. The table below rolls up every tab so you can see overall readiness at a glance.</t>
  </si>
  <si>
    <t xml:space="preserve">OVERALL READINESS</t>
  </si>
  <si>
    <t xml:space="preserve">Section</t>
  </si>
  <si>
    <t xml:space="preserve">Items</t>
  </si>
  <si>
    <t xml:space="preserve">Applicable</t>
  </si>
  <si>
    <t xml:space="preserve">Complete</t>
  </si>
  <si>
    <t xml:space="preserve">% Complete</t>
  </si>
  <si>
    <t xml:space="preserve">Infrastructure Dependency Mapping</t>
  </si>
  <si>
    <t xml:space="preserve">Layer 1</t>
  </si>
  <si>
    <t xml:space="preserve">Layer 2</t>
  </si>
  <si>
    <t xml:space="preserve">Layer 3</t>
  </si>
  <si>
    <t xml:space="preserve">Power &amp; Fuel Readiness</t>
  </si>
  <si>
    <t xml:space="preserve">Site Risk Ranking</t>
  </si>
  <si>
    <t xml:space="preserve">Team, Runbook &amp; Documentation</t>
  </si>
  <si>
    <t xml:space="preserve">Pre-Season Final Verification &amp; Drill</t>
  </si>
  <si>
    <t xml:space="preserve">TOTAL</t>
  </si>
  <si>
    <t xml:space="preserve">Status legend</t>
  </si>
  <si>
    <t xml:space="preserve">Done and verified</t>
  </si>
  <si>
    <t xml:space="preserve">In Progress</t>
  </si>
  <si>
    <t xml:space="preserve">Started, not finished</t>
  </si>
  <si>
    <t xml:space="preserve">Not Started</t>
  </si>
  <si>
    <t xml:space="preserve">Not yet begun</t>
  </si>
  <si>
    <t xml:space="preserve">N/A</t>
  </si>
  <si>
    <t xml:space="preserve">Does not apply to you</t>
  </si>
  <si>
    <t xml:space="preserve">Found gaps you cannot close on your own? Book a Free Connectivity Risk Assessment with ConnectaSat.</t>
  </si>
  <si>
    <t xml:space="preserve">ConnectaSat  ·  Infrastructure Dependency Mapping</t>
  </si>
  <si>
    <t xml:space="preserve">Find out what your “redundancy” actually shares. A backup that rides the same trench, carrier, or grid is one layer wearing a disguise.</t>
  </si>
  <si>
    <t xml:space="preserve">Set each item's Status. Mark N/A to exclude it. Progress updates automatically.</t>
  </si>
  <si>
    <t xml:space="preserve">Applicable:</t>
  </si>
  <si>
    <t xml:space="preserve">% Complete:</t>
  </si>
  <si>
    <t xml:space="preserve">✓</t>
  </si>
  <si>
    <t xml:space="preserve">#</t>
  </si>
  <si>
    <t xml:space="preserve">Checklist Item</t>
  </si>
  <si>
    <t xml:space="preserve">Why It Matters</t>
  </si>
  <si>
    <t xml:space="preserve">Priority</t>
  </si>
  <si>
    <t xml:space="preserve">Status</t>
  </si>
  <si>
    <t xml:space="preserve">Owner</t>
  </si>
  <si>
    <t xml:space="preserve">Notes</t>
  </si>
  <si>
    <t xml:space="preserve">Document every internet path serving each site (primary, secondary, cellular).</t>
  </si>
  <si>
    <t xml:space="preserve">You cannot protect a dependency you have not written down.</t>
  </si>
  <si>
    <t xml:space="preserve">Critical</t>
  </si>
  <si>
    <t xml:space="preserve">Trace each path to its physical entry point (trench, conduit, building entry).</t>
  </si>
  <si>
    <t xml:space="preserve">Shared entry points fail together.</t>
  </si>
  <si>
    <t xml:space="preserve">Confirm whether primary and backup share the same trench or duct.</t>
  </si>
  <si>
    <t xml:space="preserve">One backhoe or flood can sever both.</t>
  </si>
  <si>
    <t xml:space="preserve">Confirm whether primary and backup ride the same carrier regional facility.</t>
  </si>
  <si>
    <t xml:space="preserve">A single flooded hub can drop both circuits.</t>
  </si>
  <si>
    <t xml:space="preserve">Identify the central office or aggregation hub each circuit depends on.</t>
  </si>
  <si>
    <t xml:space="preserve">Hub damage darkens whole metros.</t>
  </si>
  <si>
    <t xml:space="preserve">High</t>
  </si>
  <si>
    <t xml:space="preserve">Map which circuits share the same last-mile cable run.</t>
  </si>
  <si>
    <t xml:space="preserve">Last-mile damage is the most common outage cause.</t>
  </si>
  <si>
    <t xml:space="preserve">Verify cellular failover does not backhaul through the same fiber as primary.</t>
  </si>
  <si>
    <t xml:space="preserve">Cellular often shares the fiber it is meant to back up.</t>
  </si>
  <si>
    <t xml:space="preserve">Record the power grid feed each connectivity component depends on.</t>
  </si>
  <si>
    <t xml:space="preserve">No power means no link, regardless of cable health.</t>
  </si>
  <si>
    <t xml:space="preserve">Flag any backup that shares a trench, carrier, or grid with the primary.</t>
  </si>
  <si>
    <t xml:space="preserve">These are duplication, not redundancy.</t>
  </si>
  <si>
    <t xml:space="preserve">Produce a one-page physical dependency map per critical site.</t>
  </si>
  <si>
    <t xml:space="preserve">A clear map is what the Risk Assessment verifies against.</t>
  </si>
  <si>
    <t xml:space="preserve">Medium</t>
  </si>
  <si>
    <t xml:space="preserve">ConnectaSat  ·  Layer 1 — Primary Connection Health</t>
  </si>
  <si>
    <t xml:space="preserve">Your everyday connection. Fast and cost-efficient, but it shares the ground the storm travels. Know its limits before you lean on it.</t>
  </si>
  <si>
    <t xml:space="preserve">Confirm contracted bandwidth matches current peak usage.</t>
  </si>
  <si>
    <t xml:space="preserve">Undersized links fail under recovery-day load.</t>
  </si>
  <si>
    <t xml:space="preserve">Record the SLA and guaranteed restoration time from each ISP.</t>
  </si>
  <si>
    <t xml:space="preserve">Restoration promises rarely hold after a major storm.</t>
  </si>
  <si>
    <t xml:space="preserve">Identify the demarcation point and who owns it.</t>
  </si>
  <si>
    <t xml:space="preserve">Ownership decides who can fix what, and when.</t>
  </si>
  <si>
    <t xml:space="preserve">Test how a primary drop is detected (the failover trigger).</t>
  </si>
  <si>
    <t xml:space="preserve">Undetected drops never trigger failover.</t>
  </si>
  <si>
    <t xml:space="preserve">Confirm router and firewall firmware is current and supported.</t>
  </si>
  <si>
    <t xml:space="preserve">Unsupported gear fails at the worst moment.</t>
  </si>
  <si>
    <t xml:space="preserve">Document static IPs, routing, and DNS dependencies.</t>
  </si>
  <si>
    <t xml:space="preserve">Hidden dependencies break failover silently.</t>
  </si>
  <si>
    <t xml:space="preserve">Verify monitoring alerts on degradation, not just full failure.</t>
  </si>
  <si>
    <t xml:space="preserve">Brownouts hurt before the link fully dies.</t>
  </si>
  <si>
    <t xml:space="preserve">Identify any single router or switch that is itself a point of failure.</t>
  </si>
  <si>
    <t xml:space="preserve">One dead box can sink an otherwise sound design.</t>
  </si>
  <si>
    <t xml:space="preserve">ConnectaSat  ·  Layer 2 — Automatic Satellite Failover</t>
  </si>
  <si>
    <t xml:space="preserve">An independent path that activates in seconds when Layer 1 drops, running above the weather. This is the layer that keeps the business running.</t>
  </si>
  <si>
    <t xml:space="preserve">Confirm a satellite terminal is installed and provisioned at each critical site.</t>
  </si>
  <si>
    <t xml:space="preserve">Provisioning after landfall is too late.</t>
  </si>
  <si>
    <t xml:space="preserve">Verify the terminal has a clear, unobstructed sky view.</t>
  </si>
  <si>
    <t xml:space="preserve">Obstruction is the most common cause of a dead terminal.</t>
  </si>
  <si>
    <t xml:space="preserve">Confirm the satellite path uses infrastructure independent of the primary.</t>
  </si>
  <si>
    <t xml:space="preserve">Shared dependency defeats the entire point.</t>
  </si>
  <si>
    <t xml:space="preserve">Validate SD-WAN or bonding hardware is configured for automatic failover.</t>
  </si>
  <si>
    <t xml:space="preserve">Manual failover does not happen mid-crisis.</t>
  </si>
  <si>
    <t xml:space="preserve">Set and document failover trigger thresholds (latency, loss, downtime).</t>
  </si>
  <si>
    <t xml:space="preserve">Wrong thresholds cause flapping or missed failover.</t>
  </si>
  <si>
    <t xml:space="preserve">Test that failover happens automatically with no manual step.</t>
  </si>
  <si>
    <t xml:space="preserve">If it needs a human, it will not happen in time.</t>
  </si>
  <si>
    <t xml:space="preserve">Measure actual failover switch time and record it.</t>
  </si>
  <si>
    <t xml:space="preserve">You cannot improve a number you have not measured.</t>
  </si>
  <si>
    <t xml:space="preserve">Confirm critical applications stay connected through a simulated outage.</t>
  </si>
  <si>
    <t xml:space="preserve">A link that is up but apps that drop is still an outage.</t>
  </si>
  <si>
    <t xml:space="preserve">Verify failback to primary is automatic and clean once it recovers.</t>
  </si>
  <si>
    <t xml:space="preserve">Messy failback creates a second outage.</t>
  </si>
  <si>
    <t xml:space="preserve">Confirm the satellite data allowance covers must-run workloads.</t>
  </si>
  <si>
    <t xml:space="preserve">Running out mid-storm is a self-inflicted outage.</t>
  </si>
  <si>
    <t xml:space="preserve">Mount and secure the terminal to survive hurricane-force wind.</t>
  </si>
  <si>
    <t xml:space="preserve">A terminal that blows away protects nothing.</t>
  </si>
  <si>
    <t xml:space="preserve">Document the terminal power source and battery or UPS backup.</t>
  </si>
  <si>
    <t xml:space="preserve">No power, no satellite, no failover.</t>
  </si>
  <si>
    <t xml:space="preserve">ConnectaSat  ·  Layer 3 — Portable Survivable Link &amp; Kit Pre-Positioning</t>
  </si>
  <si>
    <t xml:space="preserve">A compact terminal pre-positioned on-site, live in minutes. Not full operations, but command and coordination when every other layer has failed.</t>
  </si>
  <si>
    <t xml:space="preserve">Inventory all portable satellite terminals and their assigned sites.</t>
  </si>
  <si>
    <t xml:space="preserve">Unassigned kits help no one.</t>
  </si>
  <si>
    <t xml:space="preserve">Confirm each kit is charged and powers on.</t>
  </si>
  <si>
    <t xml:space="preserve">A dead battery is a dead kit.</t>
  </si>
  <si>
    <t xml:space="preserve">Verify each kit reaches the satellite from its staging location.</t>
  </si>
  <si>
    <t xml:space="preserve">Test the link before you depend on it.</t>
  </si>
  <si>
    <t xml:space="preserve">Pre-position kits on-site before the season, not in a warehouse.</t>
  </si>
  <si>
    <t xml:space="preserve">A kit across town during a storm is unreachable.</t>
  </si>
  <si>
    <t xml:space="preserve">Store kits in a waterproof, secure, accessible case.</t>
  </si>
  <si>
    <t xml:space="preserve">Flooded or locked-away gear cannot deploy.</t>
  </si>
  <si>
    <t xml:space="preserve">Include cabling, adapters, and mounts in each kit.</t>
  </si>
  <si>
    <t xml:space="preserve">A missing cable strands the whole kit.</t>
  </si>
  <si>
    <t xml:space="preserve">Label each kit with quick-start instructions.</t>
  </si>
  <si>
    <t xml:space="preserve">Stress is no time to learn the setup.</t>
  </si>
  <si>
    <t xml:space="preserve">Assign a named owner responsible for each portable kit.</t>
  </si>
  <si>
    <t xml:space="preserve">Shared ownership becomes no ownership.</t>
  </si>
  <si>
    <t xml:space="preserve">Confirm at least one kit per emergency operations or command location.</t>
  </si>
  <si>
    <t xml:space="preserve">Command must stay connected to coordinate.</t>
  </si>
  <si>
    <t xml:space="preserve">Test setup time from case to live link and record the target.</t>
  </si>
  <si>
    <t xml:space="preserve">Know how fast you can be back online.</t>
  </si>
  <si>
    <t xml:space="preserve">ConnectaSat  ·  Power &amp; Fuel Readiness</t>
  </si>
  <si>
    <t xml:space="preserve">Power fails first in almost every storm. Connectivity depends on electricity, so a power plan is a connectivity plan.</t>
  </si>
  <si>
    <t xml:space="preserve">Record backup power runtime for each connectivity component.</t>
  </si>
  <si>
    <t xml:space="preserve">Runtime defines how long you stay online.</t>
  </si>
  <si>
    <t xml:space="preserve">Confirm UPS batteries are tested and within service life.</t>
  </si>
  <si>
    <t xml:space="preserve">Aged batteries fail under real load.</t>
  </si>
  <si>
    <t xml:space="preserve">Confirm generators start and carry the comms load.</t>
  </si>
  <si>
    <t xml:space="preserve">A generator that will not start is decoration.</t>
  </si>
  <si>
    <t xml:space="preserve">Document fuel on hand and the refueling source.</t>
  </si>
  <si>
    <t xml:space="preserve">Generators are only as good as their fuel supply.</t>
  </si>
  <si>
    <t xml:space="preserve">Establish a refueling plan that survives blocked roads.</t>
  </si>
  <si>
    <t xml:space="preserve">Fuel logistics break down exactly when needed.</t>
  </si>
  <si>
    <t xml:space="preserve">Verify the satellite terminal stays powered when the grid is gone.</t>
  </si>
  <si>
    <t xml:space="preserve">The survivable layer must survive the power loss.</t>
  </si>
  <si>
    <t xml:space="preserve">Confirm network gear is on protected power.</t>
  </si>
  <si>
    <t xml:space="preserve">Routers and switches on raw mains drop with the grid.</t>
  </si>
  <si>
    <t xml:space="preserve">Identify how long the full stack runs on backup before failure.</t>
  </si>
  <si>
    <t xml:space="preserve">One weak link sets the true runtime.</t>
  </si>
  <si>
    <t xml:space="preserve">ConnectaSat  ·  Site Risk Ranking</t>
  </si>
  <si>
    <t xml:space="preserve">Not every site carries equal risk or equal cost when it drops. Rank exposure and criticality so you protect the right sites first.</t>
  </si>
  <si>
    <t xml:space="preserve">List all sites and tag those in surge, flood, or wind-exposed zones.</t>
  </si>
  <si>
    <t xml:space="preserve">Exposure drives priority.</t>
  </si>
  <si>
    <t xml:space="preserve">Rank each site by operational impact if it goes offline.</t>
  </si>
  <si>
    <t xml:space="preserve">Criticality drives priority alongside exposure.</t>
  </si>
  <si>
    <t xml:space="preserve">Score each site current connectivity independence (true layers).</t>
  </si>
  <si>
    <t xml:space="preserve">Find the sites with hidden single points of failure.</t>
  </si>
  <si>
    <t xml:space="preserve">Identify which sites have no independent failover today.</t>
  </si>
  <si>
    <t xml:space="preserve">These are your highest-risk gaps.</t>
  </si>
  <si>
    <t xml:space="preserve">Prioritize satellite deployment to highest-exposure, highest-impact sites first.</t>
  </si>
  <si>
    <t xml:space="preserve">Spend the budget where it removes the most risk.</t>
  </si>
  <si>
    <t xml:space="preserve">Record evacuation or unmanned-operation plans per site.</t>
  </si>
  <si>
    <t xml:space="preserve">Some sites must run with no one present.</t>
  </si>
  <si>
    <t xml:space="preserve">Note which sites must run autonomously with no on-site staff.</t>
  </si>
  <si>
    <t xml:space="preserve">Autonomy demands automatic, no-human failover.</t>
  </si>
  <si>
    <t xml:space="preserve">Set a target resilience posture for each site before season start.</t>
  </si>
  <si>
    <t xml:space="preserve">A target makes readiness measurable.</t>
  </si>
  <si>
    <t xml:space="preserve">ConnectaSat  ·  Team, Runbook &amp; Documentation</t>
  </si>
  <si>
    <t xml:space="preserve">When the network goes, the work goes with it. A clear runbook and a prepared team turn a crisis into a procedure.</t>
  </si>
  <si>
    <t xml:space="preserve">Write a one-page outage runbook per critical site.</t>
  </si>
  <si>
    <t xml:space="preserve">Short and clear beats long and unread.</t>
  </si>
  <si>
    <t xml:space="preserve">Define who declares an outage and who owns the response.</t>
  </si>
  <si>
    <t xml:space="preserve">Unclear ownership wastes the first critical hour.</t>
  </si>
  <si>
    <t xml:space="preserve">Document the manual steps if automatic failover does not trigger.</t>
  </si>
  <si>
    <t xml:space="preserve">A plan B prevents a full stop.</t>
  </si>
  <si>
    <t xml:space="preserve">Maintain a current contact tree for ISP, satellite, and internal leads.</t>
  </si>
  <si>
    <t xml:space="preserve">Stale contacts cost time you do not have.</t>
  </si>
  <si>
    <t xml:space="preserve">Store the runbook somewhere reachable without the primary network.</t>
  </si>
  <si>
    <t xml:space="preserve">A runbook you cannot open is useless.</t>
  </si>
  <si>
    <t xml:space="preserve">Confirm leadership can communicate independent of terrestrial networks.</t>
  </si>
  <si>
    <t xml:space="preserve">Decisions stall when leaders go dark.</t>
  </si>
  <si>
    <t xml:space="preserve">Record account numbers, support lines, and escalation paths offline.</t>
  </si>
  <si>
    <t xml:space="preserve">Support is slow when you cannot prove who you are.</t>
  </si>
  <si>
    <t xml:space="preserve">Brief on-site staff on portable kit setup.</t>
  </si>
  <si>
    <t xml:space="preserve">Trained hands deploy faster.</t>
  </si>
  <si>
    <t xml:space="preserve">Schedule a pre-season tabletop walkthrough of the runbook.</t>
  </si>
  <si>
    <t xml:space="preserve">Walkthroughs surface gaps before the storm does.</t>
  </si>
  <si>
    <t xml:space="preserve">Assign a single owner for keeping this checklist current.</t>
  </si>
  <si>
    <t xml:space="preserve">An unowned checklist goes stale.</t>
  </si>
  <si>
    <t xml:space="preserve">ConnectaSat  ·  Pre-Season Final Verification &amp; Drill</t>
  </si>
  <si>
    <t xml:space="preserve">Prove it works before the season starts. An untested failover is a hope, not a plan.</t>
  </si>
  <si>
    <t xml:space="preserve">Run a full failover drill: cut the primary and confirm satellite carries the work.</t>
  </si>
  <si>
    <t xml:space="preserve">The only real proof is a live test.</t>
  </si>
  <si>
    <t xml:space="preserve">Confirm every critical app survives the drill.</t>
  </si>
  <si>
    <t xml:space="preserve">Connectivity without working apps is not survival.</t>
  </si>
  <si>
    <t xml:space="preserve">Time the end-to-end switch and compare to target.</t>
  </si>
  <si>
    <t xml:space="preserve">Measure it under realistic conditions.</t>
  </si>
  <si>
    <t xml:space="preserve">Verify monitoring alerted the right people during the drill.</t>
  </si>
  <si>
    <t xml:space="preserve">Silent failover is hard to trust or manage.</t>
  </si>
  <si>
    <t xml:space="preserve">Confirm failback completed cleanly after the drill.</t>
  </si>
  <si>
    <t xml:space="preserve">Clean recovery matters as much as failover.</t>
  </si>
  <si>
    <t xml:space="preserve">Resolve every issue found in the drill before season start.</t>
  </si>
  <si>
    <t xml:space="preserve">A known issue left open will resurface mid-storm.</t>
  </si>
  <si>
    <t xml:space="preserve">Re-confirm all terminals have power, mounting, and sky view.</t>
  </si>
  <si>
    <t xml:space="preserve">Conditions drift between install and season.</t>
  </si>
  <si>
    <t xml:space="preserve">Sign off: each critical site has independent, automatic, tested resilience.</t>
  </si>
  <si>
    <t xml:space="preserve">One owner signs that the site is truly ready.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</si>
</sst>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1F2933"/>
      <name val="Arial"/>
      <family val="0"/>
      <charset val="1"/>
    </font>
    <font>
      <b val="true"/>
      <sz val="12"/>
      <color rgb="FF0B3D66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3D66"/>
      <name val="Arial"/>
      <family val="0"/>
      <charset val="1"/>
    </font>
    <font>
      <b val="true"/>
      <sz val="11"/>
      <color rgb="FF0B3D66"/>
      <name val="Arial"/>
      <family val="0"/>
      <charset val="1"/>
    </font>
    <font>
      <b val="true"/>
      <sz val="10"/>
      <color rgb="FF1E6B34"/>
      <name val="Arial"/>
      <family val="0"/>
      <charset val="1"/>
    </font>
    <font>
      <b val="true"/>
      <sz val="10"/>
      <color rgb="FF7A5B00"/>
      <name val="Arial"/>
      <family val="0"/>
      <charset val="1"/>
    </font>
    <font>
      <b val="true"/>
      <sz val="10"/>
      <color rgb="FF9C2B23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1"/>
      <color rgb="FFE8631A"/>
      <name val="Arial"/>
      <family val="0"/>
      <charset val="1"/>
    </font>
    <font>
      <i val="true"/>
      <sz val="10"/>
      <color rgb="FF1F2933"/>
      <name val="Arial"/>
      <family val="0"/>
      <charset val="1"/>
    </font>
    <font>
      <i val="true"/>
      <sz val="9"/>
      <color rgb="FF8A94A6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2"/>
      <color rgb="FF1E6B34"/>
      <name val="Arial"/>
      <family val="0"/>
      <charset val="1"/>
    </font>
    <font>
      <sz val="10"/>
      <color rgb="FF8A94A6"/>
      <name val="Arial"/>
      <family val="0"/>
      <charset val="1"/>
    </font>
    <font>
      <i val="true"/>
      <sz val="9"/>
      <color rgb="FF4B566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3D66"/>
        <bgColor rgb="FF1F2933"/>
      </patternFill>
    </fill>
    <fill>
      <patternFill patternType="solid">
        <fgColor rgb="FFE8631A"/>
        <bgColor rgb="FFC2620F"/>
      </patternFill>
    </fill>
    <fill>
      <patternFill patternType="solid">
        <fgColor rgb="FF1A6FB0"/>
        <bgColor rgb="FF3D6FA0"/>
      </patternFill>
    </fill>
    <fill>
      <patternFill patternType="solid">
        <fgColor rgb="FFFFFFFF"/>
        <bgColor rgb="FFE2E6EA"/>
      </patternFill>
    </fill>
    <fill>
      <patternFill patternType="solid">
        <fgColor rgb="FFC6EFCE"/>
        <bgColor rgb="FFE2E6EA"/>
      </patternFill>
    </fill>
    <fill>
      <patternFill patternType="solid">
        <fgColor rgb="FFFFEB9C"/>
        <bgColor rgb="FFF9D7D4"/>
      </patternFill>
    </fill>
    <fill>
      <patternFill patternType="solid">
        <fgColor rgb="FFFFD4D1"/>
        <bgColor rgb="FFF9D7D4"/>
      </patternFill>
    </fill>
    <fill>
      <patternFill patternType="solid">
        <fgColor rgb="FFE2E6EA"/>
        <bgColor rgb="FFCCD6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1E6B34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A5B00"/>
      </font>
      <fill>
        <patternFill>
          <bgColor rgb="FFFFEB9C"/>
        </patternFill>
      </fill>
    </dxf>
    <dxf>
      <font>
        <name val="Arial"/>
        <charset val="1"/>
        <family val="0"/>
        <color rgb="FF9C2B23"/>
      </font>
      <fill>
        <patternFill>
          <bgColor rgb="FFFFD4D1"/>
        </patternFill>
      </fill>
    </dxf>
    <dxf>
      <font>
        <name val="Arial"/>
        <charset val="1"/>
        <family val="0"/>
        <color rgb="FF6B7280"/>
      </font>
      <fill>
        <patternFill>
          <bgColor rgb="FFE2E6EA"/>
        </patternFill>
      </fill>
    </dxf>
    <dxf>
      <font>
        <name val="Arial"/>
        <charset val="1"/>
        <family val="0"/>
        <b val="1"/>
        <color rgb="FFA3261D"/>
      </font>
      <fill>
        <patternFill>
          <bgColor rgb="FFF9D7D4"/>
        </patternFill>
      </fill>
    </dxf>
    <dxf>
      <font>
        <name val="Arial"/>
        <charset val="1"/>
        <family val="0"/>
        <b val="1"/>
        <color rgb="FFC2620F"/>
      </font>
    </dxf>
    <dxf>
      <font>
        <name val="Arial"/>
        <charset val="1"/>
        <family val="0"/>
        <b val="1"/>
        <color rgb="FF3D6FA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A3261D"/>
      <rgbColor rgb="FFF9D7D4"/>
      <rgbColor rgb="FFE2E6EA"/>
      <rgbColor rgb="FF660066"/>
      <rgbColor rgb="FFFF8080"/>
      <rgbColor rgb="FF1A6FB0"/>
      <rgbColor rgb="FFCC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4D1"/>
      <rgbColor rgb="FF3D6FA0"/>
      <rgbColor rgb="FF33CCCC"/>
      <rgbColor rgb="FF99CC00"/>
      <rgbColor rgb="FFFFCC00"/>
      <rgbColor rgb="FFFF9900"/>
      <rgbColor rgb="FFE8631A"/>
      <rgbColor rgb="FF6B7280"/>
      <rgbColor rgb="FF8A94A6"/>
      <rgbColor rgb="FF0B3D66"/>
      <rgbColor rgb="FF339966"/>
      <rgbColor rgb="FF003300"/>
      <rgbColor rgb="FF333300"/>
      <rgbColor rgb="FF9C2B23"/>
      <rgbColor rgb="FFC2620F"/>
      <rgbColor rgb="FF4B5663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5" customFormat="false" ht="27.75" hidden="false" customHeight="true" outlineLevel="0" collapsed="false">
      <c r="B5" s="4" t="s">
        <v>3</v>
      </c>
      <c r="C5" s="4"/>
      <c r="D5" s="4"/>
      <c r="E5" s="4"/>
      <c r="F5" s="4"/>
    </row>
    <row r="6" customFormat="false" ht="27.75" hidden="false" customHeight="true" outlineLevel="0" collapsed="false">
      <c r="B6" s="4" t="s">
        <v>4</v>
      </c>
      <c r="C6" s="4"/>
      <c r="D6" s="4"/>
      <c r="E6" s="4"/>
      <c r="F6" s="4"/>
    </row>
    <row r="7" customFormat="false" ht="27.75" hidden="false" customHeight="true" outlineLevel="0" collapsed="false">
      <c r="B7" s="4" t="s">
        <v>5</v>
      </c>
      <c r="C7" s="4"/>
      <c r="D7" s="4"/>
      <c r="E7" s="4"/>
      <c r="F7" s="4"/>
    </row>
    <row r="9" customFormat="false" ht="25.5" hidden="false" customHeight="true" outlineLevel="0" collapsed="false">
      <c r="B9" s="5" t="s">
        <v>6</v>
      </c>
      <c r="C9" s="5"/>
      <c r="D9" s="6" t="n">
        <f aca="false">IFERROR(E20/D20,0)</f>
        <v>0</v>
      </c>
      <c r="E9" s="6"/>
      <c r="F9" s="6"/>
    </row>
    <row r="11" customFormat="false" ht="15" hidden="false" customHeight="false" outlineLevel="0" collapsed="false">
      <c r="A11" s="7"/>
      <c r="B11" s="7" t="s">
        <v>7</v>
      </c>
      <c r="C11" s="8" t="s">
        <v>8</v>
      </c>
      <c r="D11" s="8" t="s">
        <v>9</v>
      </c>
      <c r="E11" s="8" t="s">
        <v>10</v>
      </c>
      <c r="F11" s="8" t="s">
        <v>11</v>
      </c>
    </row>
    <row r="12" customFormat="false" ht="15" hidden="false" customHeight="false" outlineLevel="0" collapsed="false">
      <c r="B12" s="9" t="s">
        <v>12</v>
      </c>
      <c r="C12" s="10" t="n">
        <v>10</v>
      </c>
      <c r="D12" s="10" t="n">
        <f aca="false">'1. Dependency Mapping'!$F$3</f>
        <v>10</v>
      </c>
      <c r="E12" s="10" t="n">
        <f aca="false">COUNTIF('1. Dependency Mapping'!$F$6:$F$15,"Complete")</f>
        <v>0</v>
      </c>
      <c r="F12" s="11" t="n">
        <f aca="false">IFERROR(E12/D12,0)</f>
        <v>0</v>
      </c>
    </row>
    <row r="13" customFormat="false" ht="15" hidden="false" customHeight="false" outlineLevel="0" collapsed="false">
      <c r="B13" s="9" t="s">
        <v>13</v>
      </c>
      <c r="C13" s="10" t="n">
        <v>8</v>
      </c>
      <c r="D13" s="10" t="n">
        <f aca="false">'2. Layer 1 Primary'!$F$3</f>
        <v>8</v>
      </c>
      <c r="E13" s="10" t="n">
        <f aca="false">COUNTIF('2. Layer 1 Primary'!$F$6:$F$13,"Complete")</f>
        <v>0</v>
      </c>
      <c r="F13" s="11" t="n">
        <f aca="false">IFERROR(E13/D13,0)</f>
        <v>0</v>
      </c>
    </row>
    <row r="14" customFormat="false" ht="15" hidden="false" customHeight="false" outlineLevel="0" collapsed="false">
      <c r="B14" s="9" t="s">
        <v>14</v>
      </c>
      <c r="C14" s="10" t="n">
        <v>12</v>
      </c>
      <c r="D14" s="10" t="n">
        <f aca="false">'3. Layer 2 Sat Failover'!$F$3</f>
        <v>12</v>
      </c>
      <c r="E14" s="10" t="n">
        <f aca="false">COUNTIF('3. Layer 2 Sat Failover'!$F$6:$F$17,"Complete")</f>
        <v>0</v>
      </c>
      <c r="F14" s="11" t="n">
        <f aca="false">IFERROR(E14/D14,0)</f>
        <v>0</v>
      </c>
    </row>
    <row r="15" customFormat="false" ht="15" hidden="false" customHeight="false" outlineLevel="0" collapsed="false">
      <c r="B15" s="9" t="s">
        <v>15</v>
      </c>
      <c r="C15" s="10" t="n">
        <v>10</v>
      </c>
      <c r="D15" s="10" t="n">
        <f aca="false">'4. Layer 3 Portable Kit'!$F$3</f>
        <v>10</v>
      </c>
      <c r="E15" s="10" t="n">
        <f aca="false">COUNTIF('4. Layer 3 Portable Kit'!$F$6:$F$15,"Complete")</f>
        <v>0</v>
      </c>
      <c r="F15" s="11" t="n">
        <f aca="false">IFERROR(E15/D15,0)</f>
        <v>0</v>
      </c>
    </row>
    <row r="16" customFormat="false" ht="15" hidden="false" customHeight="false" outlineLevel="0" collapsed="false">
      <c r="B16" s="9" t="s">
        <v>16</v>
      </c>
      <c r="C16" s="10" t="n">
        <v>8</v>
      </c>
      <c r="D16" s="10" t="n">
        <f aca="false">'5. Power &amp; Fuel'!$F$3</f>
        <v>8</v>
      </c>
      <c r="E16" s="10" t="n">
        <f aca="false">COUNTIF('5. Power &amp; Fuel'!$F$6:$F$13,"Complete")</f>
        <v>0</v>
      </c>
      <c r="F16" s="11" t="n">
        <f aca="false">IFERROR(E16/D16,0)</f>
        <v>0</v>
      </c>
    </row>
    <row r="17" customFormat="false" ht="15" hidden="false" customHeight="false" outlineLevel="0" collapsed="false">
      <c r="B17" s="9" t="s">
        <v>17</v>
      </c>
      <c r="C17" s="10" t="n">
        <v>8</v>
      </c>
      <c r="D17" s="10" t="n">
        <f aca="false">'6. Site Risk Ranking'!$F$3</f>
        <v>8</v>
      </c>
      <c r="E17" s="10" t="n">
        <f aca="false">COUNTIF('6. Site Risk Ranking'!$F$6:$F$13,"Complete")</f>
        <v>0</v>
      </c>
      <c r="F17" s="11" t="n">
        <f aca="false">IFERROR(E17/D17,0)</f>
        <v>0</v>
      </c>
    </row>
    <row r="18" customFormat="false" ht="15" hidden="false" customHeight="false" outlineLevel="0" collapsed="false">
      <c r="B18" s="9" t="s">
        <v>18</v>
      </c>
      <c r="C18" s="10" t="n">
        <v>10</v>
      </c>
      <c r="D18" s="10" t="n">
        <f aca="false">'7. Team &amp; Runbook'!$F$3</f>
        <v>10</v>
      </c>
      <c r="E18" s="10" t="n">
        <f aca="false">COUNTIF('7. Team &amp; Runbook'!$F$6:$F$15,"Complete")</f>
        <v>0</v>
      </c>
      <c r="F18" s="11" t="n">
        <f aca="false">IFERROR(E18/D18,0)</f>
        <v>0</v>
      </c>
    </row>
    <row r="19" customFormat="false" ht="15" hidden="false" customHeight="false" outlineLevel="0" collapsed="false">
      <c r="B19" s="9" t="s">
        <v>19</v>
      </c>
      <c r="C19" s="10" t="n">
        <v>8</v>
      </c>
      <c r="D19" s="10" t="n">
        <f aca="false">'8. Final Verification'!$F$3</f>
        <v>8</v>
      </c>
      <c r="E19" s="10" t="n">
        <f aca="false">COUNTIF('8. Final Verification'!$F$6:$F$13,"Complete")</f>
        <v>0</v>
      </c>
      <c r="F19" s="11" t="n">
        <f aca="false">IFERROR(E19/D19,0)</f>
        <v>0</v>
      </c>
    </row>
    <row r="20" customFormat="false" ht="15" hidden="false" customHeight="false" outlineLevel="0" collapsed="false">
      <c r="B20" s="12" t="s">
        <v>20</v>
      </c>
      <c r="C20" s="13" t="n">
        <f aca="false">SUM(C12:C19)</f>
        <v>74</v>
      </c>
      <c r="D20" s="13" t="n">
        <f aca="false">SUM(D12:D19)</f>
        <v>74</v>
      </c>
      <c r="E20" s="13" t="n">
        <f aca="false">SUM(E12:E19)</f>
        <v>0</v>
      </c>
      <c r="F20" s="14" t="n">
        <f aca="false">IFERROR(E20/D20,0)</f>
        <v>0</v>
      </c>
    </row>
    <row r="22" customFormat="false" ht="15" hidden="false" customHeight="false" outlineLevel="0" collapsed="false">
      <c r="B22" s="15" t="s">
        <v>21</v>
      </c>
      <c r="C22" s="15"/>
      <c r="D22" s="15"/>
      <c r="E22" s="15"/>
      <c r="F22" s="15"/>
    </row>
    <row r="23" customFormat="false" ht="15" hidden="false" customHeight="false" outlineLevel="0" collapsed="false">
      <c r="B23" s="16" t="s">
        <v>10</v>
      </c>
      <c r="C23" s="17" t="s">
        <v>22</v>
      </c>
      <c r="D23" s="17"/>
      <c r="E23" s="17"/>
      <c r="F23" s="17"/>
    </row>
    <row r="24" customFormat="false" ht="15" hidden="false" customHeight="false" outlineLevel="0" collapsed="false">
      <c r="B24" s="18" t="s">
        <v>23</v>
      </c>
      <c r="C24" s="17" t="s">
        <v>24</v>
      </c>
      <c r="D24" s="17"/>
      <c r="E24" s="17"/>
      <c r="F24" s="17"/>
    </row>
    <row r="25" customFormat="false" ht="15" hidden="false" customHeight="false" outlineLevel="0" collapsed="false">
      <c r="B25" s="19" t="s">
        <v>25</v>
      </c>
      <c r="C25" s="17" t="s">
        <v>26</v>
      </c>
      <c r="D25" s="17"/>
      <c r="E25" s="17"/>
      <c r="F25" s="17"/>
    </row>
    <row r="26" customFormat="false" ht="15" hidden="false" customHeight="false" outlineLevel="0" collapsed="false">
      <c r="B26" s="20" t="s">
        <v>27</v>
      </c>
      <c r="C26" s="17" t="s">
        <v>28</v>
      </c>
      <c r="D26" s="17"/>
      <c r="E26" s="17"/>
      <c r="F26" s="17"/>
    </row>
    <row r="28" customFormat="false" ht="21.75" hidden="false" customHeight="true" outlineLevel="0" collapsed="false">
      <c r="B28" s="21" t="s">
        <v>29</v>
      </c>
      <c r="C28" s="21"/>
      <c r="D28" s="21"/>
      <c r="E28" s="21"/>
      <c r="F28" s="21"/>
    </row>
  </sheetData>
  <mergeCells count="14">
    <mergeCell ref="A1:F1"/>
    <mergeCell ref="A2:F2"/>
    <mergeCell ref="B4:F4"/>
    <mergeCell ref="B5:F5"/>
    <mergeCell ref="B6:F6"/>
    <mergeCell ref="B7:F7"/>
    <mergeCell ref="B9:C9"/>
    <mergeCell ref="D9:F9"/>
    <mergeCell ref="B22:F22"/>
    <mergeCell ref="C23:F23"/>
    <mergeCell ref="C24:F24"/>
    <mergeCell ref="C25:F25"/>
    <mergeCell ref="C26:F26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31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COUNTA(C6:C15)-COUNTIF(F6:F15,"N/A")</f>
        <v>10</v>
      </c>
      <c r="G3" s="24" t="s">
        <v>34</v>
      </c>
      <c r="H3" s="26" t="n">
        <f aca="false">IFERROR(COUNTIF(F6:F15,"Complete")/F3,0)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43</v>
      </c>
      <c r="D6" s="31" t="s">
        <v>44</v>
      </c>
      <c r="E6" s="32" t="s">
        <v>45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46</v>
      </c>
      <c r="D7" s="31" t="s">
        <v>47</v>
      </c>
      <c r="E7" s="32" t="s">
        <v>45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48</v>
      </c>
      <c r="D8" s="31" t="s">
        <v>49</v>
      </c>
      <c r="E8" s="32" t="s">
        <v>45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50</v>
      </c>
      <c r="D9" s="31" t="s">
        <v>51</v>
      </c>
      <c r="E9" s="32" t="s">
        <v>45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52</v>
      </c>
      <c r="D10" s="31" t="s">
        <v>53</v>
      </c>
      <c r="E10" s="32" t="s">
        <v>54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55</v>
      </c>
      <c r="D11" s="31" t="s">
        <v>56</v>
      </c>
      <c r="E11" s="32" t="s">
        <v>54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57</v>
      </c>
      <c r="D12" s="31" t="s">
        <v>58</v>
      </c>
      <c r="E12" s="32" t="s">
        <v>54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59</v>
      </c>
      <c r="D13" s="31" t="s">
        <v>60</v>
      </c>
      <c r="E13" s="32" t="s">
        <v>54</v>
      </c>
      <c r="F13" s="33" t="s">
        <v>25</v>
      </c>
      <c r="G13" s="34"/>
      <c r="H13" s="30"/>
    </row>
    <row r="14" customFormat="false" ht="33.75" hidden="false" customHeight="true" outlineLevel="0" collapsed="false">
      <c r="A14" s="28" t="str">
        <f aca="false">IF($F14="Complete","✓","")</f>
        <v/>
      </c>
      <c r="B14" s="29" t="n">
        <v>9</v>
      </c>
      <c r="C14" s="30" t="s">
        <v>61</v>
      </c>
      <c r="D14" s="31" t="s">
        <v>62</v>
      </c>
      <c r="E14" s="32" t="s">
        <v>45</v>
      </c>
      <c r="F14" s="33" t="s">
        <v>25</v>
      </c>
      <c r="G14" s="34"/>
      <c r="H14" s="30"/>
    </row>
    <row r="15" customFormat="false" ht="33.75" hidden="false" customHeight="true" outlineLevel="0" collapsed="false">
      <c r="A15" s="28" t="str">
        <f aca="false">IF($F15="Complete","✓","")</f>
        <v/>
      </c>
      <c r="B15" s="29" t="n">
        <v>10</v>
      </c>
      <c r="C15" s="30" t="s">
        <v>63</v>
      </c>
      <c r="D15" s="31" t="s">
        <v>64</v>
      </c>
      <c r="E15" s="32" t="s">
        <v>65</v>
      </c>
      <c r="F15" s="33" t="s">
        <v>25</v>
      </c>
      <c r="G15" s="34"/>
      <c r="H15" s="30"/>
    </row>
  </sheetData>
  <mergeCells count="3">
    <mergeCell ref="A1:H1"/>
    <mergeCell ref="A2:H2"/>
    <mergeCell ref="A3:D3"/>
  </mergeCells>
  <conditionalFormatting sqref="F6:F15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5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5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5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67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COUNTA(C6:C13)-COUNTIF(F6:F13,"N/A")</f>
        <v>8</v>
      </c>
      <c r="G3" s="24" t="s">
        <v>34</v>
      </c>
      <c r="H3" s="26" t="n">
        <f aca="false">IFERROR(COUNTIF(F6:F13,"Complete")/F3,0)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68</v>
      </c>
      <c r="D6" s="31" t="s">
        <v>69</v>
      </c>
      <c r="E6" s="32" t="s">
        <v>65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70</v>
      </c>
      <c r="D7" s="31" t="s">
        <v>71</v>
      </c>
      <c r="E7" s="32" t="s">
        <v>54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72</v>
      </c>
      <c r="D8" s="31" t="s">
        <v>73</v>
      </c>
      <c r="E8" s="32" t="s">
        <v>65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74</v>
      </c>
      <c r="D9" s="31" t="s">
        <v>75</v>
      </c>
      <c r="E9" s="32" t="s">
        <v>45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76</v>
      </c>
      <c r="D10" s="31" t="s">
        <v>77</v>
      </c>
      <c r="E10" s="32" t="s">
        <v>65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78</v>
      </c>
      <c r="D11" s="31" t="s">
        <v>79</v>
      </c>
      <c r="E11" s="32" t="s">
        <v>54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80</v>
      </c>
      <c r="D12" s="31" t="s">
        <v>81</v>
      </c>
      <c r="E12" s="32" t="s">
        <v>54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82</v>
      </c>
      <c r="D13" s="31" t="s">
        <v>83</v>
      </c>
      <c r="E13" s="32" t="s">
        <v>45</v>
      </c>
      <c r="F13" s="33" t="s">
        <v>25</v>
      </c>
      <c r="G13" s="34"/>
      <c r="H13" s="30"/>
    </row>
  </sheetData>
  <mergeCells count="3">
    <mergeCell ref="A1:H1"/>
    <mergeCell ref="A2:H2"/>
    <mergeCell ref="A3:D3"/>
  </mergeCells>
  <conditionalFormatting sqref="F6:F13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3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3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3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85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COUNTA(C6:C17)-COUNTIF(F6:F17,"N/A")</f>
        <v>12</v>
      </c>
      <c r="G3" s="24" t="s">
        <v>34</v>
      </c>
      <c r="H3" s="26" t="n">
        <f aca="false">IFERROR(COUNTIF(F6:F17,"Complete")/F3,0)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86</v>
      </c>
      <c r="D6" s="31" t="s">
        <v>87</v>
      </c>
      <c r="E6" s="32" t="s">
        <v>45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88</v>
      </c>
      <c r="D7" s="31" t="s">
        <v>89</v>
      </c>
      <c r="E7" s="32" t="s">
        <v>45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90</v>
      </c>
      <c r="D8" s="31" t="s">
        <v>91</v>
      </c>
      <c r="E8" s="32" t="s">
        <v>45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92</v>
      </c>
      <c r="D9" s="31" t="s">
        <v>93</v>
      </c>
      <c r="E9" s="32" t="s">
        <v>45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94</v>
      </c>
      <c r="D10" s="31" t="s">
        <v>95</v>
      </c>
      <c r="E10" s="32" t="s">
        <v>54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96</v>
      </c>
      <c r="D11" s="31" t="s">
        <v>97</v>
      </c>
      <c r="E11" s="32" t="s">
        <v>45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98</v>
      </c>
      <c r="D12" s="31" t="s">
        <v>99</v>
      </c>
      <c r="E12" s="32" t="s">
        <v>54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100</v>
      </c>
      <c r="D13" s="31" t="s">
        <v>101</v>
      </c>
      <c r="E13" s="32" t="s">
        <v>45</v>
      </c>
      <c r="F13" s="33" t="s">
        <v>25</v>
      </c>
      <c r="G13" s="34"/>
      <c r="H13" s="30"/>
    </row>
    <row r="14" customFormat="false" ht="33.75" hidden="false" customHeight="true" outlineLevel="0" collapsed="false">
      <c r="A14" s="28" t="str">
        <f aca="false">IF($F14="Complete","✓","")</f>
        <v/>
      </c>
      <c r="B14" s="29" t="n">
        <v>9</v>
      </c>
      <c r="C14" s="30" t="s">
        <v>102</v>
      </c>
      <c r="D14" s="31" t="s">
        <v>103</v>
      </c>
      <c r="E14" s="32" t="s">
        <v>65</v>
      </c>
      <c r="F14" s="33" t="s">
        <v>25</v>
      </c>
      <c r="G14" s="34"/>
      <c r="H14" s="30"/>
    </row>
    <row r="15" customFormat="false" ht="33.75" hidden="false" customHeight="true" outlineLevel="0" collapsed="false">
      <c r="A15" s="28" t="str">
        <f aca="false">IF($F15="Complete","✓","")</f>
        <v/>
      </c>
      <c r="B15" s="29" t="n">
        <v>10</v>
      </c>
      <c r="C15" s="30" t="s">
        <v>104</v>
      </c>
      <c r="D15" s="31" t="s">
        <v>105</v>
      </c>
      <c r="E15" s="32" t="s">
        <v>54</v>
      </c>
      <c r="F15" s="33" t="s">
        <v>25</v>
      </c>
      <c r="G15" s="34"/>
      <c r="H15" s="30"/>
    </row>
    <row r="16" customFormat="false" ht="33.75" hidden="false" customHeight="true" outlineLevel="0" collapsed="false">
      <c r="A16" s="28" t="str">
        <f aca="false">IF($F16="Complete","✓","")</f>
        <v/>
      </c>
      <c r="B16" s="29" t="n">
        <v>11</v>
      </c>
      <c r="C16" s="30" t="s">
        <v>106</v>
      </c>
      <c r="D16" s="31" t="s">
        <v>107</v>
      </c>
      <c r="E16" s="32" t="s">
        <v>54</v>
      </c>
      <c r="F16" s="33" t="s">
        <v>25</v>
      </c>
      <c r="G16" s="34"/>
      <c r="H16" s="30"/>
    </row>
    <row r="17" customFormat="false" ht="33.75" hidden="false" customHeight="true" outlineLevel="0" collapsed="false">
      <c r="A17" s="28" t="str">
        <f aca="false">IF($F17="Complete","✓","")</f>
        <v/>
      </c>
      <c r="B17" s="29" t="n">
        <v>12</v>
      </c>
      <c r="C17" s="30" t="s">
        <v>108</v>
      </c>
      <c r="D17" s="31" t="s">
        <v>109</v>
      </c>
      <c r="E17" s="32" t="s">
        <v>54</v>
      </c>
      <c r="F17" s="33" t="s">
        <v>25</v>
      </c>
      <c r="G17" s="34"/>
      <c r="H17" s="30"/>
    </row>
  </sheetData>
  <mergeCells count="3">
    <mergeCell ref="A1:H1"/>
    <mergeCell ref="A2:H2"/>
    <mergeCell ref="A3:D3"/>
  </mergeCells>
  <conditionalFormatting sqref="F6:F17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7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7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7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111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COUNTA(C6:C15)-COUNTIF(F6:F15,"N/A")</f>
        <v>10</v>
      </c>
      <c r="G3" s="24" t="s">
        <v>34</v>
      </c>
      <c r="H3" s="26" t="n">
        <f aca="false">IFERROR(COUNTIF(F6:F15,"Complete")/F3,0)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112</v>
      </c>
      <c r="D6" s="31" t="s">
        <v>113</v>
      </c>
      <c r="E6" s="32" t="s">
        <v>54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114</v>
      </c>
      <c r="D7" s="31" t="s">
        <v>115</v>
      </c>
      <c r="E7" s="32" t="s">
        <v>54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116</v>
      </c>
      <c r="D8" s="31" t="s">
        <v>117</v>
      </c>
      <c r="E8" s="32" t="s">
        <v>45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118</v>
      </c>
      <c r="D9" s="31" t="s">
        <v>119</v>
      </c>
      <c r="E9" s="32" t="s">
        <v>45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120</v>
      </c>
      <c r="D10" s="31" t="s">
        <v>121</v>
      </c>
      <c r="E10" s="32" t="s">
        <v>54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122</v>
      </c>
      <c r="D11" s="31" t="s">
        <v>123</v>
      </c>
      <c r="E11" s="32" t="s">
        <v>65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124</v>
      </c>
      <c r="D12" s="31" t="s">
        <v>125</v>
      </c>
      <c r="E12" s="32" t="s">
        <v>65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126</v>
      </c>
      <c r="D13" s="31" t="s">
        <v>127</v>
      </c>
      <c r="E13" s="32" t="s">
        <v>65</v>
      </c>
      <c r="F13" s="33" t="s">
        <v>25</v>
      </c>
      <c r="G13" s="34"/>
      <c r="H13" s="30"/>
    </row>
    <row r="14" customFormat="false" ht="33.75" hidden="false" customHeight="true" outlineLevel="0" collapsed="false">
      <c r="A14" s="28" t="str">
        <f aca="false">IF($F14="Complete","✓","")</f>
        <v/>
      </c>
      <c r="B14" s="29" t="n">
        <v>9</v>
      </c>
      <c r="C14" s="30" t="s">
        <v>128</v>
      </c>
      <c r="D14" s="31" t="s">
        <v>129</v>
      </c>
      <c r="E14" s="32" t="s">
        <v>54</v>
      </c>
      <c r="F14" s="33" t="s">
        <v>25</v>
      </c>
      <c r="G14" s="34"/>
      <c r="H14" s="30"/>
    </row>
    <row r="15" customFormat="false" ht="33.75" hidden="false" customHeight="true" outlineLevel="0" collapsed="false">
      <c r="A15" s="28" t="str">
        <f aca="false">IF($F15="Complete","✓","")</f>
        <v/>
      </c>
      <c r="B15" s="29" t="n">
        <v>10</v>
      </c>
      <c r="C15" s="30" t="s">
        <v>130</v>
      </c>
      <c r="D15" s="31" t="s">
        <v>131</v>
      </c>
      <c r="E15" s="32" t="s">
        <v>65</v>
      </c>
      <c r="F15" s="33" t="s">
        <v>25</v>
      </c>
      <c r="G15" s="34"/>
      <c r="H15" s="30"/>
    </row>
  </sheetData>
  <mergeCells count="3">
    <mergeCell ref="A1:H1"/>
    <mergeCell ref="A2:H2"/>
    <mergeCell ref="A3:D3"/>
  </mergeCells>
  <conditionalFormatting sqref="F6:F15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5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5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5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133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COUNTA(C6:C13)-COUNTIF(F6:F13,"N/A")</f>
        <v>8</v>
      </c>
      <c r="G3" s="24" t="s">
        <v>34</v>
      </c>
      <c r="H3" s="26" t="n">
        <f aca="false">IFERROR(COUNTIF(F6:F13,"Complete")/F3,0)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134</v>
      </c>
      <c r="D6" s="31" t="s">
        <v>135</v>
      </c>
      <c r="E6" s="32" t="s">
        <v>45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136</v>
      </c>
      <c r="D7" s="31" t="s">
        <v>137</v>
      </c>
      <c r="E7" s="32" t="s">
        <v>54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138</v>
      </c>
      <c r="D8" s="31" t="s">
        <v>139</v>
      </c>
      <c r="E8" s="32" t="s">
        <v>54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140</v>
      </c>
      <c r="D9" s="31" t="s">
        <v>141</v>
      </c>
      <c r="E9" s="32" t="s">
        <v>54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142</v>
      </c>
      <c r="D10" s="31" t="s">
        <v>143</v>
      </c>
      <c r="E10" s="32" t="s">
        <v>45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144</v>
      </c>
      <c r="D11" s="31" t="s">
        <v>145</v>
      </c>
      <c r="E11" s="32" t="s">
        <v>45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146</v>
      </c>
      <c r="D12" s="31" t="s">
        <v>147</v>
      </c>
      <c r="E12" s="32" t="s">
        <v>54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148</v>
      </c>
      <c r="D13" s="31" t="s">
        <v>149</v>
      </c>
      <c r="E13" s="32" t="s">
        <v>54</v>
      </c>
      <c r="F13" s="33" t="s">
        <v>25</v>
      </c>
      <c r="G13" s="34"/>
      <c r="H13" s="30"/>
    </row>
  </sheetData>
  <mergeCells count="3">
    <mergeCell ref="A1:H1"/>
    <mergeCell ref="A2:H2"/>
    <mergeCell ref="A3:D3"/>
  </mergeCells>
  <conditionalFormatting sqref="F6:F13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3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3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3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151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COUNTA(C6:C13)-COUNTIF(F6:F13,"N/A")</f>
        <v>8</v>
      </c>
      <c r="G3" s="24" t="s">
        <v>34</v>
      </c>
      <c r="H3" s="26" t="n">
        <f aca="false">IFERROR(COUNTIF(F6:F13,"Complete")/F3,0)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152</v>
      </c>
      <c r="D6" s="31" t="s">
        <v>153</v>
      </c>
      <c r="E6" s="32" t="s">
        <v>54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154</v>
      </c>
      <c r="D7" s="31" t="s">
        <v>155</v>
      </c>
      <c r="E7" s="32" t="s">
        <v>54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156</v>
      </c>
      <c r="D8" s="31" t="s">
        <v>157</v>
      </c>
      <c r="E8" s="32" t="s">
        <v>45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158</v>
      </c>
      <c r="D9" s="31" t="s">
        <v>159</v>
      </c>
      <c r="E9" s="32" t="s">
        <v>45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160</v>
      </c>
      <c r="D10" s="31" t="s">
        <v>161</v>
      </c>
      <c r="E10" s="32" t="s">
        <v>54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162</v>
      </c>
      <c r="D11" s="31" t="s">
        <v>163</v>
      </c>
      <c r="E11" s="32" t="s">
        <v>65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164</v>
      </c>
      <c r="D12" s="31" t="s">
        <v>165</v>
      </c>
      <c r="E12" s="32" t="s">
        <v>54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166</v>
      </c>
      <c r="D13" s="31" t="s">
        <v>167</v>
      </c>
      <c r="E13" s="32" t="s">
        <v>65</v>
      </c>
      <c r="F13" s="33" t="s">
        <v>25</v>
      </c>
      <c r="G13" s="34"/>
      <c r="H13" s="30"/>
    </row>
  </sheetData>
  <mergeCells count="3">
    <mergeCell ref="A1:H1"/>
    <mergeCell ref="A2:H2"/>
    <mergeCell ref="A3:D3"/>
  </mergeCells>
  <conditionalFormatting sqref="F6:F13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3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3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3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169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COUNTA(C6:C15)-COUNTIF(F6:F15,"N/A")</f>
        <v>10</v>
      </c>
      <c r="G3" s="24" t="s">
        <v>34</v>
      </c>
      <c r="H3" s="26" t="n">
        <f aca="false">IFERROR(COUNTIF(F6:F15,"Complete")/F3,0)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170</v>
      </c>
      <c r="D6" s="31" t="s">
        <v>171</v>
      </c>
      <c r="E6" s="32" t="s">
        <v>54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172</v>
      </c>
      <c r="D7" s="31" t="s">
        <v>173</v>
      </c>
      <c r="E7" s="32" t="s">
        <v>54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174</v>
      </c>
      <c r="D8" s="31" t="s">
        <v>175</v>
      </c>
      <c r="E8" s="32" t="s">
        <v>54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176</v>
      </c>
      <c r="D9" s="31" t="s">
        <v>177</v>
      </c>
      <c r="E9" s="32" t="s">
        <v>65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178</v>
      </c>
      <c r="D10" s="31" t="s">
        <v>179</v>
      </c>
      <c r="E10" s="32" t="s">
        <v>45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180</v>
      </c>
      <c r="D11" s="31" t="s">
        <v>181</v>
      </c>
      <c r="E11" s="32" t="s">
        <v>54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182</v>
      </c>
      <c r="D12" s="31" t="s">
        <v>183</v>
      </c>
      <c r="E12" s="32" t="s">
        <v>65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184</v>
      </c>
      <c r="D13" s="31" t="s">
        <v>185</v>
      </c>
      <c r="E13" s="32" t="s">
        <v>65</v>
      </c>
      <c r="F13" s="33" t="s">
        <v>25</v>
      </c>
      <c r="G13" s="34"/>
      <c r="H13" s="30"/>
    </row>
    <row r="14" customFormat="false" ht="33.75" hidden="false" customHeight="true" outlineLevel="0" collapsed="false">
      <c r="A14" s="28" t="str">
        <f aca="false">IF($F14="Complete","✓","")</f>
        <v/>
      </c>
      <c r="B14" s="29" t="n">
        <v>9</v>
      </c>
      <c r="C14" s="30" t="s">
        <v>186</v>
      </c>
      <c r="D14" s="31" t="s">
        <v>187</v>
      </c>
      <c r="E14" s="32" t="s">
        <v>54</v>
      </c>
      <c r="F14" s="33" t="s">
        <v>25</v>
      </c>
      <c r="G14" s="34"/>
      <c r="H14" s="30"/>
    </row>
    <row r="15" customFormat="false" ht="33.75" hidden="false" customHeight="true" outlineLevel="0" collapsed="false">
      <c r="A15" s="28" t="str">
        <f aca="false">IF($F15="Complete","✓","")</f>
        <v/>
      </c>
      <c r="B15" s="29" t="n">
        <v>10</v>
      </c>
      <c r="C15" s="30" t="s">
        <v>188</v>
      </c>
      <c r="D15" s="31" t="s">
        <v>189</v>
      </c>
      <c r="E15" s="32" t="s">
        <v>65</v>
      </c>
      <c r="F15" s="33" t="s">
        <v>25</v>
      </c>
      <c r="G15" s="34"/>
      <c r="H15" s="30"/>
    </row>
  </sheetData>
  <mergeCells count="3">
    <mergeCell ref="A1:H1"/>
    <mergeCell ref="A2:H2"/>
    <mergeCell ref="A3:D3"/>
  </mergeCells>
  <conditionalFormatting sqref="F6:F15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5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5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5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3.7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2" t="s">
        <v>191</v>
      </c>
      <c r="B2" s="22"/>
      <c r="C2" s="22"/>
      <c r="D2" s="22"/>
      <c r="E2" s="22"/>
      <c r="F2" s="22"/>
      <c r="G2" s="22"/>
      <c r="H2" s="22"/>
    </row>
    <row r="3" customFormat="false" ht="19.5" hidden="false" customHeight="true" outlineLevel="0" collapsed="false">
      <c r="A3" s="23" t="s">
        <v>32</v>
      </c>
      <c r="B3" s="23"/>
      <c r="C3" s="23"/>
      <c r="D3" s="23"/>
      <c r="E3" s="24" t="s">
        <v>33</v>
      </c>
      <c r="F3" s="25" t="n">
        <f aca="false">COUNTA(C6:C13)-COUNTIF(F6:F13,"N/A")</f>
        <v>8</v>
      </c>
      <c r="G3" s="24" t="s">
        <v>34</v>
      </c>
      <c r="H3" s="26" t="n">
        <f aca="false">IFERROR(COUNTIF(F6:F13,"Complete")/F3,0)</f>
        <v>0</v>
      </c>
    </row>
    <row r="5" customFormat="false" ht="21.75" hidden="false" customHeight="true" outlineLevel="0" collapsed="false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</row>
    <row r="6" customFormat="false" ht="33.75" hidden="false" customHeight="true" outlineLevel="0" collapsed="false">
      <c r="A6" s="28" t="str">
        <f aca="false">IF($F6="Complete","✓","")</f>
        <v/>
      </c>
      <c r="B6" s="29" t="n">
        <v>1</v>
      </c>
      <c r="C6" s="30" t="s">
        <v>192</v>
      </c>
      <c r="D6" s="31" t="s">
        <v>193</v>
      </c>
      <c r="E6" s="32" t="s">
        <v>45</v>
      </c>
      <c r="F6" s="33" t="s">
        <v>25</v>
      </c>
      <c r="G6" s="34"/>
      <c r="H6" s="30"/>
    </row>
    <row r="7" customFormat="false" ht="33.75" hidden="false" customHeight="true" outlineLevel="0" collapsed="false">
      <c r="A7" s="28" t="str">
        <f aca="false">IF($F7="Complete","✓","")</f>
        <v/>
      </c>
      <c r="B7" s="29" t="n">
        <v>2</v>
      </c>
      <c r="C7" s="30" t="s">
        <v>194</v>
      </c>
      <c r="D7" s="31" t="s">
        <v>195</v>
      </c>
      <c r="E7" s="32" t="s">
        <v>45</v>
      </c>
      <c r="F7" s="33" t="s">
        <v>25</v>
      </c>
      <c r="G7" s="34"/>
      <c r="H7" s="30"/>
    </row>
    <row r="8" customFormat="false" ht="33.75" hidden="false" customHeight="true" outlineLevel="0" collapsed="false">
      <c r="A8" s="28" t="str">
        <f aca="false">IF($F8="Complete","✓","")</f>
        <v/>
      </c>
      <c r="B8" s="29" t="n">
        <v>3</v>
      </c>
      <c r="C8" s="30" t="s">
        <v>196</v>
      </c>
      <c r="D8" s="31" t="s">
        <v>197</v>
      </c>
      <c r="E8" s="32" t="s">
        <v>54</v>
      </c>
      <c r="F8" s="33" t="s">
        <v>25</v>
      </c>
      <c r="G8" s="34"/>
      <c r="H8" s="30"/>
    </row>
    <row r="9" customFormat="false" ht="33.75" hidden="false" customHeight="true" outlineLevel="0" collapsed="false">
      <c r="A9" s="28" t="str">
        <f aca="false">IF($F9="Complete","✓","")</f>
        <v/>
      </c>
      <c r="B9" s="29" t="n">
        <v>4</v>
      </c>
      <c r="C9" s="30" t="s">
        <v>198</v>
      </c>
      <c r="D9" s="31" t="s">
        <v>199</v>
      </c>
      <c r="E9" s="32" t="s">
        <v>65</v>
      </c>
      <c r="F9" s="33" t="s">
        <v>25</v>
      </c>
      <c r="G9" s="34"/>
      <c r="H9" s="30"/>
    </row>
    <row r="10" customFormat="false" ht="33.75" hidden="false" customHeight="true" outlineLevel="0" collapsed="false">
      <c r="A10" s="28" t="str">
        <f aca="false">IF($F10="Complete","✓","")</f>
        <v/>
      </c>
      <c r="B10" s="29" t="n">
        <v>5</v>
      </c>
      <c r="C10" s="30" t="s">
        <v>200</v>
      </c>
      <c r="D10" s="31" t="s">
        <v>201</v>
      </c>
      <c r="E10" s="32" t="s">
        <v>65</v>
      </c>
      <c r="F10" s="33" t="s">
        <v>25</v>
      </c>
      <c r="G10" s="34"/>
      <c r="H10" s="30"/>
    </row>
    <row r="11" customFormat="false" ht="33.75" hidden="false" customHeight="true" outlineLevel="0" collapsed="false">
      <c r="A11" s="28" t="str">
        <f aca="false">IF($F11="Complete","✓","")</f>
        <v/>
      </c>
      <c r="B11" s="29" t="n">
        <v>6</v>
      </c>
      <c r="C11" s="30" t="s">
        <v>202</v>
      </c>
      <c r="D11" s="31" t="s">
        <v>203</v>
      </c>
      <c r="E11" s="32" t="s">
        <v>45</v>
      </c>
      <c r="F11" s="33" t="s">
        <v>25</v>
      </c>
      <c r="G11" s="34"/>
      <c r="H11" s="30"/>
    </row>
    <row r="12" customFormat="false" ht="33.75" hidden="false" customHeight="true" outlineLevel="0" collapsed="false">
      <c r="A12" s="28" t="str">
        <f aca="false">IF($F12="Complete","✓","")</f>
        <v/>
      </c>
      <c r="B12" s="29" t="n">
        <v>7</v>
      </c>
      <c r="C12" s="30" t="s">
        <v>204</v>
      </c>
      <c r="D12" s="31" t="s">
        <v>205</v>
      </c>
      <c r="E12" s="32" t="s">
        <v>54</v>
      </c>
      <c r="F12" s="33" t="s">
        <v>25</v>
      </c>
      <c r="G12" s="34"/>
      <c r="H12" s="30"/>
    </row>
    <row r="13" customFormat="false" ht="33.75" hidden="false" customHeight="true" outlineLevel="0" collapsed="false">
      <c r="A13" s="28" t="str">
        <f aca="false">IF($F13="Complete","✓","")</f>
        <v/>
      </c>
      <c r="B13" s="29" t="n">
        <v>8</v>
      </c>
      <c r="C13" s="30" t="s">
        <v>206</v>
      </c>
      <c r="D13" s="31" t="s">
        <v>207</v>
      </c>
      <c r="E13" s="32" t="s">
        <v>54</v>
      </c>
      <c r="F13" s="33" t="s">
        <v>25</v>
      </c>
      <c r="G13" s="34"/>
      <c r="H13" s="30"/>
    </row>
  </sheetData>
  <mergeCells count="3">
    <mergeCell ref="A1:H1"/>
    <mergeCell ref="A2:H2"/>
    <mergeCell ref="A3:D3"/>
  </mergeCells>
  <conditionalFormatting sqref="F6:F13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"N/A"</formula>
    </cfRule>
  </conditionalFormatting>
  <conditionalFormatting sqref="E6:E13">
    <cfRule type="cellIs" priority="6" operator="equal" aboveAverage="0" equalAverage="0" bottom="0" percent="0" rank="0" text="" dxfId="4">
      <formula>"Critical"</formula>
    </cfRule>
    <cfRule type="cellIs" priority="7" operator="equal" aboveAverage="0" equalAverage="0" bottom="0" percent="0" rank="0" text="" dxfId="5">
      <formula>"High"</formula>
    </cfRule>
    <cfRule type="cellIs" priority="8" operator="equal" aboveAverage="0" equalAverage="0" bottom="0" percent="0" rank="0" text="" dxfId="6">
      <formula>"Medium"</formula>
    </cfRule>
  </conditionalFormatting>
  <dataValidations count="2">
    <dataValidation allowBlank="false" errorStyle="stop" operator="between" showDropDown="false" showErrorMessage="false" showInputMessage="false" sqref="F6:F13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E6:E13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2026-06-19T07:49:45Z</dcterms:created>
  <dc:creator>openpyxl</dc:creator>
  <dc:description/>
  <dc:language>en-US</dc:language>
  <cp:lastModifiedBy/>
  <dcterms:modified xsi:type="dcterms:W3CDTF">2026-06-19T07:49:46Z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